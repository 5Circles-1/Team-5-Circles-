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📌 Today" sheetId="1" state="visible" r:id="rId1"/>
    <sheet name="✅ Tasks" sheetId="2" state="visible" r:id="rId2"/>
    <sheet name="🎬 Content" sheetId="3" state="visible" r:id="rId3"/>
    <sheet name="📞 Leads" sheetId="4" state="visible" r:id="rId4"/>
    <sheet name="🌙 Day Close" sheetId="5" state="visible" r:id="rId5"/>
    <sheet name="👥 Team" sheetId="6" state="visible" r:id="rId6"/>
    <sheet name="📖 Read me" sheetId="7" state="visible" r:id="rId7"/>
  </sheets>
  <definedNames>
    <definedName name="TeamNames">'👥 Team'!$A$2:$A$51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"/>
    <numFmt numFmtId="165" formatCode="yyyy-mm-dd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4181D"/>
      <sz val="10"/>
    </font>
    <font>
      <name val="Arial"/>
      <color rgb="006D7681"/>
      <sz val="10"/>
    </font>
    <font>
      <name val="Arial"/>
      <b val="1"/>
      <color rgb="0014181D"/>
      <sz val="10"/>
    </font>
    <font>
      <name val="Arial"/>
      <color rgb="001F5BA0"/>
      <sz val="10"/>
    </font>
    <font>
      <name val="Arial"/>
      <b val="1"/>
      <color rgb="00FFFFFF"/>
      <sz val="18"/>
    </font>
    <font>
      <name val="Arial"/>
      <color rgb="00E7E3D9"/>
      <sz val="10"/>
    </font>
    <font>
      <name val="Arial"/>
      <b val="1"/>
      <color rgb="006D7681"/>
      <sz val="8"/>
    </font>
    <font>
      <name val="Arial"/>
      <b val="1"/>
      <color rgb="0014181D"/>
      <sz val="20"/>
    </font>
    <font>
      <name val="Arial"/>
      <b val="1"/>
      <color rgb="001F5BA0"/>
      <sz val="20"/>
    </font>
    <font>
      <name val="Arial"/>
      <b val="1"/>
      <color rgb="006D7681"/>
      <sz val="20"/>
    </font>
    <font>
      <name val="Arial"/>
      <b val="1"/>
      <color rgb="00C2543A"/>
      <sz val="12"/>
    </font>
    <font>
      <name val="Arial"/>
      <b val="1"/>
      <color rgb="001F5BA0"/>
      <sz val="12"/>
    </font>
    <font>
      <name val="Arial"/>
      <color rgb="006D7681"/>
      <sz val="9"/>
    </font>
    <font>
      <name val="Arial"/>
      <b val="1"/>
      <color rgb="000E1B2A"/>
      <sz val="16"/>
    </font>
    <font>
      <name val="Arial"/>
      <b val="1"/>
      <color rgb="001F5BA0"/>
      <sz val="11"/>
    </font>
  </fonts>
  <fills count="3">
    <fill>
      <patternFill/>
    </fill>
    <fill>
      <patternFill patternType="gray125"/>
    </fill>
    <fill>
      <patternFill patternType="solid">
        <fgColor rgb="000E1B2A"/>
      </patternFill>
    </fill>
  </fills>
  <borders count="3">
    <border>
      <left/>
      <right/>
      <top/>
      <bottom/>
      <diagonal/>
    </border>
    <border>
      <bottom style="medium">
        <color rgb="00C2543A"/>
      </bottom>
    </border>
    <border>
      <bottom style="medium">
        <color rgb="001F5BA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164" fontId="2" fillId="0" borderId="0" applyAlignment="1" pivotButton="0" quotePrefix="0" xfId="0">
      <alignment vertical="top"/>
    </xf>
    <xf numFmtId="0" fontId="6" fillId="2" borderId="0" applyAlignment="1" pivotButton="0" quotePrefix="0" xfId="0">
      <alignment vertical="center"/>
    </xf>
    <xf numFmtId="0" fontId="0" fillId="2" borderId="0" pivotButton="0" quotePrefix="0" xfId="0"/>
    <xf numFmtId="0" fontId="7" fillId="2" borderId="0" applyAlignment="1" pivotButton="0" quotePrefix="0" xfId="0">
      <alignment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vertical="center"/>
    </xf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13" fillId="0" borderId="2" applyAlignment="1" pivotButton="0" quotePrefix="0" xfId="0">
      <alignment vertical="center"/>
    </xf>
    <xf numFmtId="0" fontId="0" fillId="0" borderId="2" pivotButton="0" quotePrefix="0" xfId="0"/>
    <xf numFmtId="0" fontId="1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1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9">
    <dxf>
      <font>
        <name val="Arial"/>
        <b val="1"/>
        <color rgb="00C2543A"/>
        <sz val="20"/>
      </font>
    </dxf>
    <dxf>
      <font>
        <name val="Arial"/>
        <b val="1"/>
        <color rgb="002F9C8E"/>
        <sz val="20"/>
      </font>
    </dxf>
    <dxf>
      <font>
        <name val="Arial"/>
        <b val="1"/>
        <color rgb="00C2543A"/>
        <sz val="10"/>
      </font>
    </dxf>
    <dxf>
      <font>
        <name val="Arial"/>
        <color rgb="006D7681"/>
        <sz val="10"/>
      </font>
      <fill>
        <patternFill patternType="solid">
          <fgColor rgb="00E3F1ED"/>
        </patternFill>
      </fill>
    </dxf>
    <dxf>
      <fill>
        <patternFill patternType="solid">
          <fgColor rgb="00F7E4DE"/>
        </patternFill>
      </fill>
    </dxf>
    <dxf>
      <fill>
        <patternFill patternType="solid">
          <fgColor rgb="00E4EDF8"/>
        </patternFill>
      </fill>
    </dxf>
    <dxf>
      <fill>
        <patternFill patternType="solid">
          <fgColor rgb="00E3F1ED"/>
        </patternFill>
      </fill>
    </dxf>
    <dxf>
      <font>
        <name val="Arial"/>
        <color rgb="006D7681"/>
        <sz val="10"/>
      </font>
    </dxf>
    <dxf>
      <font>
        <name val="Arial"/>
        <color rgb="002F9C8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87ED1"/>
    <outlinePr summaryBelow="1" summaryRight="1"/>
    <pageSetUpPr/>
  </sheetPr>
  <dimension ref="A1:D4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style="1" min="3" max="3"/>
    <col width="13" customWidth="1" min="4" max="4"/>
    <col width="6" customWidth="1" min="5" max="5"/>
    <col width="6" customWidth="1" min="6" max="6"/>
  </cols>
  <sheetData>
    <row r="1" ht="32" customHeight="1">
      <c r="A1" s="2" t="inlineStr">
        <is>
          <t>5 CIRCLES HQ</t>
        </is>
      </c>
      <c r="B1" s="3" t="n"/>
      <c r="C1" s="3" t="n"/>
      <c r="D1" s="3" t="n"/>
    </row>
    <row r="2" ht="18" customHeight="1">
      <c r="A2" s="4">
        <f>"Live view · "&amp;TEXT(TODAY(),"dddd, d mmm")&amp;" · this page fills itself"</f>
        <v/>
      </c>
      <c r="B2" s="3" t="n"/>
      <c r="C2" s="3" t="n"/>
      <c r="D2" s="3" t="n"/>
    </row>
    <row r="4">
      <c r="A4" s="5" t="inlineStr">
        <is>
          <t>OVERDUE TASKS</t>
        </is>
      </c>
      <c r="B4" s="5" t="inlineStr">
        <is>
          <t>DUE TODAY</t>
        </is>
      </c>
      <c r="C4" s="5" t="inlineStr">
        <is>
          <t>STUCK</t>
        </is>
      </c>
    </row>
    <row r="5">
      <c r="A5" s="6">
        <f>COUNTIFS('✅ Tasks'!$C:$C,"&lt;"&amp;TODAY(),'✅ Tasks'!$D:$D,"&lt;&gt;Done",'✅ Tasks'!$A:$A,"&lt;&gt;")</f>
        <v/>
      </c>
      <c r="B5" s="6">
        <f>COUNTIFS('✅ Tasks'!$C:$C,TODAY(),'✅ Tasks'!$D:$D,"&lt;&gt;Done",'✅ Tasks'!$A:$A,"&lt;&gt;")</f>
        <v/>
      </c>
      <c r="C5" s="6">
        <f>COUNTIF('✅ Tasks'!$D:$D,"Stuck")</f>
        <v/>
      </c>
    </row>
    <row r="6">
      <c r="A6" s="5" t="inlineStr">
        <is>
          <t>LEADS TO CALL</t>
        </is>
      </c>
      <c r="B6" s="5" t="inlineStr">
        <is>
          <t>CONTENT LATE</t>
        </is>
      </c>
      <c r="C6" s="5" t="inlineStr">
        <is>
          <t>CLOSED YDAY</t>
        </is>
      </c>
    </row>
    <row r="7">
      <c r="A7" s="7">
        <f>COUNTIFS('📞 Leads'!$G:$G,"&lt;="&amp;TODAY(),'📞 Leads'!$F:$F,"&lt;&gt;Joined",'📞 Leads'!$F:$F,"&lt;&gt;Not now",'📞 Leads'!$B:$B,"&lt;&gt;")</f>
        <v/>
      </c>
      <c r="B7" s="6">
        <f>COUNTIFS('🎬 Content'!$A:$A,"&lt;"&amp;TODAY(),'🎬 Content'!$E:$E,"&lt;&gt;Posted",'🎬 Content'!$D:$D,"&lt;&gt;")</f>
        <v/>
      </c>
      <c r="C7" s="8">
        <f>COUNTIFS('🌙 Day Close'!$A:$A,TODAY()-1)&amp;" / "&amp;COUNTA('👥 Team'!$A$2:$A$51)</f>
        <v/>
      </c>
    </row>
    <row r="9" ht="24" customHeight="1">
      <c r="A9" s="9" t="inlineStr">
        <is>
          <t>⚠️  FIX FIRST — overdue &amp; stuck</t>
        </is>
      </c>
      <c r="B9" s="10" t="n"/>
      <c r="C9" s="10" t="n"/>
      <c r="D9" s="10" t="n"/>
    </row>
    <row r="10">
      <c r="A10" s="5" t="inlineStr">
        <is>
          <t>TASK</t>
        </is>
      </c>
      <c r="B10" s="5" t="inlineStr">
        <is>
          <t>WHO</t>
        </is>
      </c>
      <c r="C10" s="5" t="inlineStr">
        <is>
          <t>DUE</t>
        </is>
      </c>
      <c r="D10" s="5" t="inlineStr">
        <is>
          <t>STATUS</t>
        </is>
      </c>
    </row>
    <row r="11">
      <c r="A11" s="11">
        <f>IFERROR(_xlfn.TAKE(_xlfn._xlws.SORT(_xlfn._xlws.FILTER(_xlfn.HSTACK('✅ Tasks'!$A$2:$A$1000,'✅ Tasks'!$B$2:$B$1000,'✅ Tasks'!$C$2:$C$1000,'✅ Tasks'!$D$2:$D$1000),('✅ Tasks'!$A$2:$A$1000&lt;&gt;"")*(('✅ Tasks'!$D$2:$D$1000="Stuck")+('✅ Tasks'!$C$2:$C$1000&lt;&gt;"")*('✅ Tasks'!$C$2:$C$1000&lt;TODAY())*('✅ Tasks'!$D$2:$D$1000&lt;&gt;"Done")&gt;0)),3,TRUE),8),IF($A$5+$C$5=0,"Nothing overdue, nothing stuck  ✅",""))</f>
        <v/>
      </c>
    </row>
    <row r="20" ht="24" customHeight="1">
      <c r="A20" s="12" t="inlineStr">
        <is>
          <t>🔵  DUE TODAY</t>
        </is>
      </c>
      <c r="B20" s="13" t="n"/>
      <c r="C20" s="13" t="n"/>
      <c r="D20" s="13" t="n"/>
    </row>
    <row r="21">
      <c r="A21" s="5" t="inlineStr">
        <is>
          <t>TASK</t>
        </is>
      </c>
      <c r="B21" s="5" t="inlineStr">
        <is>
          <t>WHO</t>
        </is>
      </c>
      <c r="C21" s="5" t="inlineStr">
        <is>
          <t>DUE</t>
        </is>
      </c>
      <c r="D21" s="5" t="inlineStr">
        <is>
          <t>GIVEN BY</t>
        </is>
      </c>
    </row>
    <row r="22">
      <c r="A22" s="11">
        <f>IFERROR(_xlfn.TAKE(_xlfn._xlws.FILTER(_xlfn.HSTACK('✅ Tasks'!$A$2:$A$1000,'✅ Tasks'!$B$2:$B$1000,'✅ Tasks'!$C$2:$C$1000,'✅ Tasks'!$E$2:$E$1000),('✅ Tasks'!$A$2:$A$1000&lt;&gt;"")*('✅ Tasks'!$C$2:$C$1000=TODAY())*('✅ Tasks'!$D$2:$D$1000&lt;&gt;"Done")),6),IF($B$5=0,"Nothing due today  ✅",""))</f>
        <v/>
      </c>
    </row>
    <row r="29" ht="24" customHeight="1">
      <c r="A29" s="12" t="inlineStr">
        <is>
          <t>📞  CALL TODAY — follow-ups waiting</t>
        </is>
      </c>
      <c r="B29" s="13" t="n"/>
      <c r="C29" s="13" t="n"/>
      <c r="D29" s="13" t="n"/>
    </row>
    <row r="30">
      <c r="A30" s="5" t="inlineStr">
        <is>
          <t>NAME</t>
        </is>
      </c>
      <c r="B30" s="5" t="inlineStr">
        <is>
          <t>PHONE</t>
        </is>
      </c>
      <c r="C30" s="5" t="inlineStr">
        <is>
          <t>PROGRAM</t>
        </is>
      </c>
      <c r="D30" s="5" t="inlineStr">
        <is>
          <t>STATUS</t>
        </is>
      </c>
    </row>
    <row r="31">
      <c r="A31" s="11">
        <f>IFERROR(_xlfn.TAKE(_xlfn._xlws.FILTER(_xlfn.HSTACK('📞 Leads'!$B$2:$B$1000,'📞 Leads'!$C$2:$C$1000,'📞 Leads'!$E$2:$E$1000,'📞 Leads'!$F$2:$F$1000),('📞 Leads'!$B$2:$B$1000&lt;&gt;"")*('📞 Leads'!$G$2:$G$1000&lt;&gt;"")*('📞 Leads'!$G$2:$G$1000&lt;=TODAY())*('📞 Leads'!$F$2:$F$1000&lt;&gt;"Joined")*('📞 Leads'!$F$2:$F$1000&lt;&gt;"Not now")),6),IF($A$7=0,"No follow-ups pending  ✅",""))</f>
        <v/>
      </c>
    </row>
    <row r="38" ht="24" customHeight="1">
      <c r="A38" s="9" t="inlineStr">
        <is>
          <t>🎬  CONTENT RUNNING LATE</t>
        </is>
      </c>
      <c r="B38" s="10" t="n"/>
      <c r="C38" s="10" t="n"/>
      <c r="D38" s="10" t="n"/>
    </row>
    <row r="39">
      <c r="A39" s="5" t="inlineStr">
        <is>
          <t>TOPIC</t>
        </is>
      </c>
      <c r="B39" s="5" t="inlineStr">
        <is>
          <t>ACCOUNT</t>
        </is>
      </c>
      <c r="C39" s="5" t="inlineStr">
        <is>
          <t>PLANNED</t>
        </is>
      </c>
      <c r="D39" s="5" t="inlineStr">
        <is>
          <t>STAGE</t>
        </is>
      </c>
    </row>
    <row r="40">
      <c r="A40" s="11">
        <f>IFERROR(_xlfn.TAKE(_xlfn._xlws.SORT(_xlfn._xlws.FILTER(_xlfn.HSTACK('🎬 Content'!$D$2:$D$1000,'🎬 Content'!$B$2:$B$1000,'🎬 Content'!$A$2:$A$1000,'🎬 Content'!$E$2:$E$1000),('🎬 Content'!$D$2:$D$1000&lt;&gt;"")*('🎬 Content'!$A$2:$A$1000&lt;&gt;"")*('🎬 Content'!$A$2:$A$1000&lt;TODAY())*('🎬 Content'!$E$2:$E$1000&lt;&gt;"Posted")),3,TRUE),5),IF($B$7=0,"Content is on schedule  ✅",""))</f>
        <v/>
      </c>
    </row>
    <row r="46" ht="28" customHeight="1">
      <c r="A46" s="14" t="inlineStr">
        <is>
          <t>Add work in ✅ Tasks · log every lead in 📞 Leads · file 🌙 Day Close before you leave. This page fills itself — don't type here.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1:D1"/>
    <mergeCell ref="A9:D9"/>
    <mergeCell ref="A20:D20"/>
    <mergeCell ref="A38:D38"/>
    <mergeCell ref="A29:D29"/>
    <mergeCell ref="A2:D2"/>
    <mergeCell ref="A46:D46"/>
  </mergeCells>
  <conditionalFormatting sqref="A5">
    <cfRule type="cellIs" priority="1" operator="greaterThan" dxfId="0">
      <formula>0</formula>
    </cfRule>
    <cfRule type="cellIs" priority="2" operator="equal" dxfId="1">
      <formula>0</formula>
    </cfRule>
  </conditionalFormatting>
  <conditionalFormatting sqref="B5">
    <cfRule type="cellIs" priority="3" operator="greaterThan" dxfId="0">
      <formula>0</formula>
    </cfRule>
    <cfRule type="cellIs" priority="4" operator="equal" dxfId="1">
      <formula>0</formula>
    </cfRule>
  </conditionalFormatting>
  <conditionalFormatting sqref="C5">
    <cfRule type="cellIs" priority="5" operator="greaterThan" dxfId="0">
      <formula>0</formula>
    </cfRule>
    <cfRule type="cellIs" priority="6" operator="equal" dxfId="1">
      <formula>0</formula>
    </cfRule>
  </conditionalFormatting>
  <conditionalFormatting sqref="B7">
    <cfRule type="cellIs" priority="7" operator="greaterThan" dxfId="0">
      <formula>0</formula>
    </cfRule>
    <cfRule type="cellIs" priority="8" operator="equal" dxfId="1">
      <formula>0</formula>
    </cfRule>
  </conditionalFormatting>
  <conditionalFormatting sqref="D11:D18">
    <cfRule type="expression" priority="9" dxfId="2">
      <formula>$D11="Stuck"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5BA0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style="11" min="1" max="1"/>
    <col width="14" customWidth="1" style="15" min="2" max="2"/>
    <col width="11" customWidth="1" style="1" min="3" max="3"/>
    <col width="11" customWidth="1" style="15" min="4" max="4"/>
    <col width="14" customWidth="1" style="15" min="5" max="5"/>
    <col width="11" customWidth="1" style="1" min="6" max="6"/>
    <col width="11" customWidth="1" style="1" min="7" max="7"/>
    <col width="34" customWidth="1" style="16" min="8" max="8"/>
  </cols>
  <sheetData>
    <row r="1" ht="26" customHeight="1">
      <c r="A1" s="17" t="inlineStr">
        <is>
          <t>Task</t>
        </is>
      </c>
      <c r="B1" s="17" t="inlineStr">
        <is>
          <t>Who</t>
        </is>
      </c>
      <c r="C1" s="17" t="inlineStr">
        <is>
          <t>Due</t>
        </is>
      </c>
      <c r="D1" s="17" t="inlineStr">
        <is>
          <t>Status</t>
        </is>
      </c>
      <c r="E1" s="17" t="inlineStr">
        <is>
          <t>Given by</t>
        </is>
      </c>
      <c r="F1" s="17" t="inlineStr">
        <is>
          <t>Given on</t>
        </is>
      </c>
      <c r="G1" s="17" t="inlineStr">
        <is>
          <t>Done on</t>
        </is>
      </c>
      <c r="H1" s="17" t="inlineStr">
        <is>
          <t>Notes</t>
        </is>
      </c>
    </row>
    <row r="2">
      <c r="A2" s="11" t="inlineStr">
        <is>
          <t>Edit &amp; schedule Thursday's theta reel</t>
        </is>
      </c>
      <c r="B2" s="15" t="inlineStr">
        <is>
          <t>Rahul Sarawagi</t>
        </is>
      </c>
      <c r="C2" s="1" t="n">
        <v>46259</v>
      </c>
      <c r="D2" s="15" t="inlineStr">
        <is>
          <t>Doing</t>
        </is>
      </c>
      <c r="E2" s="15" t="inlineStr">
        <is>
          <t>Rahul Sarawagi</t>
        </is>
      </c>
      <c r="F2" s="1" t="n">
        <v>46258</v>
      </c>
      <c r="H2" s="16" t="inlineStr">
        <is>
          <t>(sample rows — replace with real work)</t>
        </is>
      </c>
    </row>
    <row r="3">
      <c r="A3" s="11" t="inlineStr">
        <is>
          <t>WhatsApp today's new ad leads before 1 pm</t>
        </is>
      </c>
      <c r="B3" s="15" t="inlineStr">
        <is>
          <t>Rahul Sarawagi</t>
        </is>
      </c>
      <c r="C3" s="1" t="n">
        <v>46260</v>
      </c>
      <c r="D3" s="15" t="inlineStr">
        <is>
          <t>To do</t>
        </is>
      </c>
      <c r="E3" s="15" t="inlineStr">
        <is>
          <t>Rahul Sarawagi</t>
        </is>
      </c>
      <c r="F3" s="1" t="n">
        <v>46260</v>
      </c>
    </row>
    <row r="4">
      <c r="A4" s="11" t="inlineStr">
        <is>
          <t>Fix classroom mic echo before Saturday session</t>
        </is>
      </c>
      <c r="B4" s="15" t="inlineStr">
        <is>
          <t>Rahul Sarawagi</t>
        </is>
      </c>
      <c r="C4" s="1" t="n">
        <v>46258</v>
      </c>
      <c r="D4" s="15" t="inlineStr">
        <is>
          <t>Stuck</t>
        </is>
      </c>
      <c r="E4" s="15" t="inlineStr">
        <is>
          <t>Rahul Sarawagi</t>
        </is>
      </c>
      <c r="F4" s="1" t="n">
        <v>46256</v>
      </c>
      <c r="H4" s="16" t="inlineStr">
        <is>
          <t>Vendor not answering — need a decision</t>
        </is>
      </c>
    </row>
    <row r="5">
      <c r="A5" s="11" t="inlineStr">
        <is>
          <t>Post Monday's market-myth carousel</t>
        </is>
      </c>
      <c r="B5" s="15" t="inlineStr">
        <is>
          <t>Rahul Sarawagi</t>
        </is>
      </c>
      <c r="C5" s="1" t="n">
        <v>46257</v>
      </c>
      <c r="D5" s="15" t="inlineStr">
        <is>
          <t>Done</t>
        </is>
      </c>
      <c r="E5" s="15" t="inlineStr">
        <is>
          <t>Rahul Sarawagi</t>
        </is>
      </c>
      <c r="F5" s="1" t="n">
        <v>46255</v>
      </c>
      <c r="G5" s="1" t="n">
        <v>46257</v>
      </c>
    </row>
  </sheetData>
  <conditionalFormatting sqref="A2:H1000">
    <cfRule type="expression" priority="1" dxfId="3" stopIfTrue="1">
      <formula>$D2="Done"</formula>
    </cfRule>
    <cfRule type="expression" priority="2" dxfId="4">
      <formula>AND($C2&lt;&gt;"",$C2&lt;TODAY(),$D2&lt;&gt;"Done",$A2&lt;&gt;"")</formula>
    </cfRule>
    <cfRule type="expression" priority="3" dxfId="5">
      <formula>AND($C2&lt;&gt;"",$C2=TODAY(),$D2&lt;&gt;"Done",$A2&lt;&gt;"")</formula>
    </cfRule>
  </conditionalFormatting>
  <conditionalFormatting sqref="D2:D1000">
    <cfRule type="expression" priority="4" dxfId="2">
      <formula>$D2="Stuck"</formula>
    </cfRule>
  </conditionalFormatting>
  <dataValidations count="2">
    <dataValidation sqref="D2:D1000" showDropDown="0" showInputMessage="0" showErrorMessage="0" allowBlank="1" type="list">
      <formula1>"To do,Doing,Done,Stuck"</formula1>
    </dataValidation>
    <dataValidation sqref="B2:B1000 E2:E1000" showDropDown="0" showInputMessage="0" showErrorMessage="0" allowBlank="1" type="list">
      <formula1>TeamNames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9C8E"/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" min="1" max="1"/>
    <col width="14" customWidth="1" style="15" min="2" max="2"/>
    <col width="11" customWidth="1" style="15" min="3" max="3"/>
    <col width="42" customWidth="1" style="11" min="4" max="4"/>
    <col width="10" customWidth="1" style="15" min="5" max="5"/>
    <col width="14" customWidth="1" style="15" min="6" max="6"/>
    <col width="18" customWidth="1" style="18" min="7" max="7"/>
    <col width="26" customWidth="1" style="16" min="8" max="8"/>
  </cols>
  <sheetData>
    <row r="1" ht="26" customHeight="1">
      <c r="A1" s="17" t="inlineStr">
        <is>
          <t>Post date</t>
        </is>
      </c>
      <c r="B1" s="17" t="inlineStr">
        <is>
          <t>Account</t>
        </is>
      </c>
      <c r="C1" s="17" t="inlineStr">
        <is>
          <t>Format</t>
        </is>
      </c>
      <c r="D1" s="17" t="inlineStr">
        <is>
          <t>Topic / hook</t>
        </is>
      </c>
      <c r="E1" s="17" t="inlineStr">
        <is>
          <t>Stage</t>
        </is>
      </c>
      <c r="F1" s="17" t="inlineStr">
        <is>
          <t>Owner</t>
        </is>
      </c>
      <c r="G1" s="17" t="inlineStr">
        <is>
          <t>Link</t>
        </is>
      </c>
      <c r="H1" s="17" t="inlineStr">
        <is>
          <t>Notes</t>
        </is>
      </c>
    </row>
    <row r="2">
      <c r="A2" s="19" t="n">
        <v>46261</v>
      </c>
      <c r="B2" s="15" t="inlineStr">
        <is>
          <t>5 Circles</t>
        </is>
      </c>
      <c r="C2" s="15" t="inlineStr">
        <is>
          <t>Reel</t>
        </is>
      </c>
      <c r="D2" s="15" t="inlineStr">
        <is>
          <t>Theta: the rent you pay to hold hope</t>
        </is>
      </c>
      <c r="E2" s="15" t="inlineStr">
        <is>
          <t>Edit</t>
        </is>
      </c>
      <c r="F2" s="15" t="inlineStr">
        <is>
          <t>Rahul Sarawagi</t>
        </is>
      </c>
      <c r="H2" s="16" t="inlineStr">
        <is>
          <t>(sample rows — replace with your calendar)</t>
        </is>
      </c>
    </row>
    <row r="3">
      <c r="A3" s="19" t="n">
        <v>46259</v>
      </c>
      <c r="B3" s="15" t="inlineStr">
        <is>
          <t>Traders Club</t>
        </is>
      </c>
      <c r="C3" s="15" t="inlineStr">
        <is>
          <t>Post</t>
        </is>
      </c>
      <c r="D3" s="15" t="inlineStr">
        <is>
          <t>Saturday session recap + photos</t>
        </is>
      </c>
      <c r="E3" s="15" t="inlineStr">
        <is>
          <t>Shoot</t>
        </is>
      </c>
      <c r="F3" s="15" t="inlineStr">
        <is>
          <t>Rahul Sarawagi</t>
        </is>
      </c>
    </row>
    <row r="4">
      <c r="A4" s="19" t="n">
        <v>46263</v>
      </c>
      <c r="B4" s="15" t="inlineStr">
        <is>
          <t>Rahul</t>
        </is>
      </c>
      <c r="C4" s="15" t="inlineStr">
        <is>
          <t>Carousel</t>
        </is>
      </c>
      <c r="D4" s="15" t="inlineStr">
        <is>
          <t>What my first loss taught me about sizing</t>
        </is>
      </c>
      <c r="E4" s="15" t="inlineStr">
        <is>
          <t>Idea</t>
        </is>
      </c>
      <c r="F4" s="15" t="inlineStr">
        <is>
          <t>Rahul Sarawagi</t>
        </is>
      </c>
    </row>
  </sheetData>
  <conditionalFormatting sqref="A2:H1000">
    <cfRule type="expression" priority="1" dxfId="3" stopIfTrue="1">
      <formula>$E2="Posted"</formula>
    </cfRule>
    <cfRule type="expression" priority="2" dxfId="4">
      <formula>AND($A2&lt;&gt;"",$A2&lt;TODAY(),$E2&lt;&gt;"Posted",$D2&lt;&gt;"")</formula>
    </cfRule>
    <cfRule type="expression" priority="3" dxfId="5">
      <formula>AND($A2&lt;&gt;"",$A2=TODAY(),$E2&lt;&gt;"Posted",$D2&lt;&gt;"")</formula>
    </cfRule>
  </conditionalFormatting>
  <dataValidations count="4">
    <dataValidation sqref="B2:B1000" showDropDown="0" showInputMessage="0" showErrorMessage="0" allowBlank="1" type="list">
      <formula1>"5 Circles,Rahul,Traders Club"</formula1>
    </dataValidation>
    <dataValidation sqref="C2:C1000" showDropDown="0" showInputMessage="0" showErrorMessage="0" allowBlank="1" type="list">
      <formula1>"Reel,Carousel,Story,Post,Live"</formula1>
    </dataValidation>
    <dataValidation sqref="E2:E1000" showDropDown="0" showInputMessage="0" showErrorMessage="0" allowBlank="1" type="list">
      <formula1>"Idea,Script,Shoot,Edit,Ready,Posted"</formula1>
    </dataValidation>
    <dataValidation sqref="F2:F1000" showDropDown="0" showInputMessage="0" showErrorMessage="0" allowBlank="1" type="list">
      <formula1>TeamNames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2543A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" min="1" max="1"/>
    <col width="18" customWidth="1" style="15" min="2" max="2"/>
    <col width="16" customWidth="1" style="20" min="3" max="3"/>
    <col width="12" customWidth="1" style="15" min="4" max="4"/>
    <col width="14" customWidth="1" style="15" min="5" max="5"/>
    <col width="12" customWidth="1" style="15" min="6" max="6"/>
    <col width="13" customWidth="1" style="1" min="7" max="7"/>
    <col width="30" customWidth="1" style="16" min="8" max="8"/>
  </cols>
  <sheetData>
    <row r="1" ht="26" customHeight="1">
      <c r="A1" s="17" t="inlineStr">
        <is>
          <t>Added on</t>
        </is>
      </c>
      <c r="B1" s="17" t="inlineStr">
        <is>
          <t>Name</t>
        </is>
      </c>
      <c r="C1" s="17" t="inlineStr">
        <is>
          <t>Phone</t>
        </is>
      </c>
      <c r="D1" s="17" t="inlineStr">
        <is>
          <t>Source</t>
        </is>
      </c>
      <c r="E1" s="17" t="inlineStr">
        <is>
          <t>Program</t>
        </is>
      </c>
      <c r="F1" s="17" t="inlineStr">
        <is>
          <t>Status</t>
        </is>
      </c>
      <c r="G1" s="17" t="inlineStr">
        <is>
          <t>Next follow-up</t>
        </is>
      </c>
      <c r="H1" s="17" t="inlineStr">
        <is>
          <t>Notes</t>
        </is>
      </c>
    </row>
    <row r="2">
      <c r="A2" s="19" t="n">
        <v>46259</v>
      </c>
      <c r="B2" s="21" t="inlineStr">
        <is>
          <t>Aman Verma</t>
        </is>
      </c>
      <c r="C2" s="20" t="inlineStr">
        <is>
          <t>98765 43210</t>
        </is>
      </c>
      <c r="D2" s="15" t="inlineStr">
        <is>
          <t>Ad</t>
        </is>
      </c>
      <c r="E2" s="15" t="inlineStr">
        <is>
          <t>Options Lab</t>
        </is>
      </c>
      <c r="F2" s="15" t="inlineStr">
        <is>
          <t>New</t>
        </is>
      </c>
      <c r="G2" s="1" t="n">
        <v>46260</v>
      </c>
      <c r="H2" s="16" t="inlineStr">
        <is>
          <t>(sample rows — replace with real leads)</t>
        </is>
      </c>
    </row>
    <row r="3">
      <c r="A3" s="19" t="n">
        <v>46257</v>
      </c>
      <c r="B3" s="21" t="inlineStr">
        <is>
          <t>Priya S.</t>
        </is>
      </c>
      <c r="C3" s="20" t="inlineStr">
        <is>
          <t>91234 56780</t>
        </is>
      </c>
      <c r="D3" s="15" t="inlineStr">
        <is>
          <t>Webinar</t>
        </is>
      </c>
      <c r="E3" s="15" t="inlineStr">
        <is>
          <t>Traders Club</t>
        </is>
      </c>
      <c r="F3" s="15" t="inlineStr">
        <is>
          <t>Interested</t>
        </is>
      </c>
      <c r="G3" s="1" t="n">
        <v>46262</v>
      </c>
      <c r="H3" s="16" t="inlineStr">
        <is>
          <t>Wants Saturday batch details</t>
        </is>
      </c>
    </row>
  </sheetData>
  <conditionalFormatting sqref="A2:H1000">
    <cfRule type="expression" priority="1" dxfId="6" stopIfTrue="1">
      <formula>$F2="Joined"</formula>
    </cfRule>
    <cfRule type="expression" priority="2" dxfId="7" stopIfTrue="1">
      <formula>$F2="Not now"</formula>
    </cfRule>
    <cfRule type="expression" priority="3" dxfId="4">
      <formula>AND($B2&lt;&gt;"",$G2&lt;&gt;"",$G2&lt;=TODAY(),$F2&lt;&gt;"Joined",$F2&lt;&gt;"Not now")</formula>
    </cfRule>
  </conditionalFormatting>
  <dataValidations count="3">
    <dataValidation sqref="D2:D1000" showDropDown="0" showInputMessage="0" showErrorMessage="0" allowBlank="1" type="list">
      <formula1>"Instagram,Ad,Webinar,Referral,Walk-in,Other"</formula1>
    </dataValidation>
    <dataValidation sqref="E2:E1000" showDropDown="0" showInputMessage="0" showErrorMessage="0" allowBlank="1" type="list">
      <formula1>"Options Lab,Traders Club,Workshop,Other"</formula1>
    </dataValidation>
    <dataValidation sqref="F2:F1000" showDropDown="0" showInputMessage="0" showErrorMessage="0" allowBlank="1" type="list">
      <formula1>"New,Contacted,Interested,Joined,Not now"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E1B2A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" min="1" max="1"/>
    <col width="16" customWidth="1" style="15" min="2" max="2"/>
    <col width="44" customWidth="1" style="11" min="3" max="3"/>
    <col width="30" customWidth="1" style="11" min="4" max="4"/>
    <col width="30" customWidth="1" style="11" min="5" max="5"/>
  </cols>
  <sheetData>
    <row r="1" ht="26" customHeight="1">
      <c r="A1" s="17" t="inlineStr">
        <is>
          <t>Date</t>
        </is>
      </c>
      <c r="B1" s="17" t="inlineStr">
        <is>
          <t>Name</t>
        </is>
      </c>
      <c r="C1" s="17" t="inlineStr">
        <is>
          <t>What I finished today</t>
        </is>
      </c>
      <c r="D1" s="17" t="inlineStr">
        <is>
          <t>Stuck on (blank if nothing)</t>
        </is>
      </c>
      <c r="E1" s="17" t="inlineStr">
        <is>
          <t>Tomorrow's #1 thing</t>
        </is>
      </c>
    </row>
    <row r="2">
      <c r="A2" s="19" t="n">
        <v>46259</v>
      </c>
      <c r="B2" s="15" t="inlineStr">
        <is>
          <t>Rahul Sarawagi</t>
        </is>
      </c>
      <c r="C2" s="15" t="inlineStr">
        <is>
          <t>Recorded 2 reels, replied to 14 DMs, closed 1 admission</t>
        </is>
      </c>
      <c r="E2" s="15" t="inlineStr">
        <is>
          <t>Call Aman about Options Lab</t>
        </is>
      </c>
    </row>
  </sheetData>
  <conditionalFormatting sqref="A2:E1000">
    <cfRule type="expression" priority="1" dxfId="5">
      <formula>AND($A2&lt;&gt;"",$A2=TODAY())</formula>
    </cfRule>
  </conditionalFormatting>
  <conditionalFormatting sqref="D2:D1000">
    <cfRule type="expression" priority="2" dxfId="2">
      <formula>AND($D2&lt;&gt;"",$A2&lt;&gt;"")</formula>
    </cfRule>
  </conditionalFormatting>
  <dataValidations count="1">
    <dataValidation sqref="B2:B1000" showDropDown="0" showInputMessage="0" showErrorMessage="0" allowBlank="1" type="list">
      <formula1>TeamNames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D7681"/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5" min="1" max="1"/>
    <col width="22" customWidth="1" style="15" min="2" max="2"/>
    <col width="16" customWidth="1" style="20" min="3" max="3"/>
    <col width="24" customWidth="1" style="22" min="4" max="4"/>
  </cols>
  <sheetData>
    <row r="1" ht="26" customHeight="1">
      <c r="A1" s="17" t="inlineStr">
        <is>
          <t>Name</t>
        </is>
      </c>
      <c r="B1" s="17" t="inlineStr">
        <is>
          <t>Role</t>
        </is>
      </c>
      <c r="C1" s="17" t="inlineStr">
        <is>
          <t>Phone</t>
        </is>
      </c>
      <c r="D1" s="17" t="inlineStr">
        <is>
          <t>Filed day close yesterday?</t>
        </is>
      </c>
    </row>
    <row r="2">
      <c r="A2" s="23" t="inlineStr">
        <is>
          <t>Rahul Sarawagi</t>
        </is>
      </c>
      <c r="B2" s="15" t="inlineStr">
        <is>
          <t>Founder</t>
        </is>
      </c>
      <c r="D2" s="24">
        <f>IF($A2="","",IF(COUNTIFS('🌙 Day Close'!$A:$A,TODAY()-1,'🌙 Day Close'!$B:$B,$A2)&gt;0,"✔ yes","— no"))</f>
        <v/>
      </c>
    </row>
    <row r="3">
      <c r="D3" s="24">
        <f>IF($A3="","",IF(COUNTIFS('🌙 Day Close'!$A:$A,TODAY()-1,'🌙 Day Close'!$B:$B,$A3)&gt;0,"✔ yes","— no"))</f>
        <v/>
      </c>
    </row>
    <row r="4">
      <c r="D4" s="24">
        <f>IF($A4="","",IF(COUNTIFS('🌙 Day Close'!$A:$A,TODAY()-1,'🌙 Day Close'!$B:$B,$A4)&gt;0,"✔ yes","— no"))</f>
        <v/>
      </c>
    </row>
    <row r="5">
      <c r="D5" s="24">
        <f>IF($A5="","",IF(COUNTIFS('🌙 Day Close'!$A:$A,TODAY()-1,'🌙 Day Close'!$B:$B,$A5)&gt;0,"✔ yes","— no"))</f>
        <v/>
      </c>
    </row>
    <row r="6">
      <c r="D6" s="24">
        <f>IF($A6="","",IF(COUNTIFS('🌙 Day Close'!$A:$A,TODAY()-1,'🌙 Day Close'!$B:$B,$A6)&gt;0,"✔ yes","— no"))</f>
        <v/>
      </c>
    </row>
    <row r="7">
      <c r="D7" s="24">
        <f>IF($A7="","",IF(COUNTIFS('🌙 Day Close'!$A:$A,TODAY()-1,'🌙 Day Close'!$B:$B,$A7)&gt;0,"✔ yes","— no"))</f>
        <v/>
      </c>
    </row>
    <row r="8">
      <c r="D8" s="24">
        <f>IF($A8="","",IF(COUNTIFS('🌙 Day Close'!$A:$A,TODAY()-1,'🌙 Day Close'!$B:$B,$A8)&gt;0,"✔ yes","— no"))</f>
        <v/>
      </c>
    </row>
    <row r="9">
      <c r="D9" s="24">
        <f>IF($A9="","",IF(COUNTIFS('🌙 Day Close'!$A:$A,TODAY()-1,'🌙 Day Close'!$B:$B,$A9)&gt;0,"✔ yes","— no"))</f>
        <v/>
      </c>
    </row>
    <row r="10">
      <c r="D10" s="24">
        <f>IF($A10="","",IF(COUNTIFS('🌙 Day Close'!$A:$A,TODAY()-1,'🌙 Day Close'!$B:$B,$A10)&gt;0,"✔ yes","— no"))</f>
        <v/>
      </c>
    </row>
    <row r="11">
      <c r="D11" s="24">
        <f>IF($A11="","",IF(COUNTIFS('🌙 Day Close'!$A:$A,TODAY()-1,'🌙 Day Close'!$B:$B,$A11)&gt;0,"✔ yes","— no"))</f>
        <v/>
      </c>
    </row>
    <row r="12">
      <c r="D12" s="24">
        <f>IF($A12="","",IF(COUNTIFS('🌙 Day Close'!$A:$A,TODAY()-1,'🌙 Day Close'!$B:$B,$A12)&gt;0,"✔ yes","— no"))</f>
        <v/>
      </c>
    </row>
    <row r="13">
      <c r="D13" s="24">
        <f>IF($A13="","",IF(COUNTIFS('🌙 Day Close'!$A:$A,TODAY()-1,'🌙 Day Close'!$B:$B,$A13)&gt;0,"✔ yes","— no"))</f>
        <v/>
      </c>
    </row>
    <row r="14">
      <c r="D14" s="24">
        <f>IF($A14="","",IF(COUNTIFS('🌙 Day Close'!$A:$A,TODAY()-1,'🌙 Day Close'!$B:$B,$A14)&gt;0,"✔ yes","— no"))</f>
        <v/>
      </c>
    </row>
    <row r="15">
      <c r="D15" s="24">
        <f>IF($A15="","",IF(COUNTIFS('🌙 Day Close'!$A:$A,TODAY()-1,'🌙 Day Close'!$B:$B,$A15)&gt;0,"✔ yes","— no"))</f>
        <v/>
      </c>
    </row>
    <row r="16">
      <c r="D16" s="24">
        <f>IF($A16="","",IF(COUNTIFS('🌙 Day Close'!$A:$A,TODAY()-1,'🌙 Day Close'!$B:$B,$A16)&gt;0,"✔ yes","— no"))</f>
        <v/>
      </c>
    </row>
    <row r="17">
      <c r="D17" s="24">
        <f>IF($A17="","",IF(COUNTIFS('🌙 Day Close'!$A:$A,TODAY()-1,'🌙 Day Close'!$B:$B,$A17)&gt;0,"✔ yes","— no"))</f>
        <v/>
      </c>
    </row>
    <row r="18">
      <c r="D18" s="24">
        <f>IF($A18="","",IF(COUNTIFS('🌙 Day Close'!$A:$A,TODAY()-1,'🌙 Day Close'!$B:$B,$A18)&gt;0,"✔ yes","— no"))</f>
        <v/>
      </c>
    </row>
    <row r="19">
      <c r="D19" s="24">
        <f>IF($A19="","",IF(COUNTIFS('🌙 Day Close'!$A:$A,TODAY()-1,'🌙 Day Close'!$B:$B,$A19)&gt;0,"✔ yes","— no"))</f>
        <v/>
      </c>
    </row>
    <row r="20">
      <c r="D20" s="24">
        <f>IF($A20="","",IF(COUNTIFS('🌙 Day Close'!$A:$A,TODAY()-1,'🌙 Day Close'!$B:$B,$A20)&gt;0,"✔ yes","— no"))</f>
        <v/>
      </c>
    </row>
    <row r="21">
      <c r="D21" s="24">
        <f>IF($A21="","",IF(COUNTIFS('🌙 Day Close'!$A:$A,TODAY()-1,'🌙 Day Close'!$B:$B,$A21)&gt;0,"✔ yes","— no"))</f>
        <v/>
      </c>
    </row>
    <row r="22">
      <c r="D22" s="24">
        <f>IF($A22="","",IF(COUNTIFS('🌙 Day Close'!$A:$A,TODAY()-1,'🌙 Day Close'!$B:$B,$A22)&gt;0,"✔ yes","— no"))</f>
        <v/>
      </c>
    </row>
    <row r="23">
      <c r="D23" s="24">
        <f>IF($A23="","",IF(COUNTIFS('🌙 Day Close'!$A:$A,TODAY()-1,'🌙 Day Close'!$B:$B,$A23)&gt;0,"✔ yes","— no"))</f>
        <v/>
      </c>
    </row>
    <row r="24">
      <c r="D24" s="24">
        <f>IF($A24="","",IF(COUNTIFS('🌙 Day Close'!$A:$A,TODAY()-1,'🌙 Day Close'!$B:$B,$A24)&gt;0,"✔ yes","— no"))</f>
        <v/>
      </c>
    </row>
    <row r="25">
      <c r="D25" s="24">
        <f>IF($A25="","",IF(COUNTIFS('🌙 Day Close'!$A:$A,TODAY()-1,'🌙 Day Close'!$B:$B,$A25)&gt;0,"✔ yes","— no"))</f>
        <v/>
      </c>
    </row>
    <row r="26">
      <c r="D26" s="24">
        <f>IF($A26="","",IF(COUNTIFS('🌙 Day Close'!$A:$A,TODAY()-1,'🌙 Day Close'!$B:$B,$A26)&gt;0,"✔ yes","— no"))</f>
        <v/>
      </c>
    </row>
    <row r="27">
      <c r="D27" s="24">
        <f>IF($A27="","",IF(COUNTIFS('🌙 Day Close'!$A:$A,TODAY()-1,'🌙 Day Close'!$B:$B,$A27)&gt;0,"✔ yes","— no"))</f>
        <v/>
      </c>
    </row>
    <row r="28">
      <c r="D28" s="24">
        <f>IF($A28="","",IF(COUNTIFS('🌙 Day Close'!$A:$A,TODAY()-1,'🌙 Day Close'!$B:$B,$A28)&gt;0,"✔ yes","— no"))</f>
        <v/>
      </c>
    </row>
    <row r="29">
      <c r="D29" s="24">
        <f>IF($A29="","",IF(COUNTIFS('🌙 Day Close'!$A:$A,TODAY()-1,'🌙 Day Close'!$B:$B,$A29)&gt;0,"✔ yes","— no"))</f>
        <v/>
      </c>
    </row>
    <row r="30">
      <c r="D30" s="24">
        <f>IF($A30="","",IF(COUNTIFS('🌙 Day Close'!$A:$A,TODAY()-1,'🌙 Day Close'!$B:$B,$A30)&gt;0,"✔ yes","— no"))</f>
        <v/>
      </c>
    </row>
    <row r="31">
      <c r="D31" s="24">
        <f>IF($A31="","",IF(COUNTIFS('🌙 Day Close'!$A:$A,TODAY()-1,'🌙 Day Close'!$B:$B,$A31)&gt;0,"✔ yes","— no"))</f>
        <v/>
      </c>
    </row>
    <row r="32">
      <c r="D32" s="24">
        <f>IF($A32="","",IF(COUNTIFS('🌙 Day Close'!$A:$A,TODAY()-1,'🌙 Day Close'!$B:$B,$A32)&gt;0,"✔ yes","— no"))</f>
        <v/>
      </c>
    </row>
    <row r="33">
      <c r="D33" s="24">
        <f>IF($A33="","",IF(COUNTIFS('🌙 Day Close'!$A:$A,TODAY()-1,'🌙 Day Close'!$B:$B,$A33)&gt;0,"✔ yes","— no"))</f>
        <v/>
      </c>
    </row>
    <row r="34">
      <c r="D34" s="24">
        <f>IF($A34="","",IF(COUNTIFS('🌙 Day Close'!$A:$A,TODAY()-1,'🌙 Day Close'!$B:$B,$A34)&gt;0,"✔ yes","— no"))</f>
        <v/>
      </c>
    </row>
    <row r="35">
      <c r="D35" s="24">
        <f>IF($A35="","",IF(COUNTIFS('🌙 Day Close'!$A:$A,TODAY()-1,'🌙 Day Close'!$B:$B,$A35)&gt;0,"✔ yes","— no"))</f>
        <v/>
      </c>
    </row>
    <row r="36">
      <c r="D36" s="24">
        <f>IF($A36="","",IF(COUNTIFS('🌙 Day Close'!$A:$A,TODAY()-1,'🌙 Day Close'!$B:$B,$A36)&gt;0,"✔ yes","— no"))</f>
        <v/>
      </c>
    </row>
    <row r="37">
      <c r="D37" s="24">
        <f>IF($A37="","",IF(COUNTIFS('🌙 Day Close'!$A:$A,TODAY()-1,'🌙 Day Close'!$B:$B,$A37)&gt;0,"✔ yes","— no"))</f>
        <v/>
      </c>
    </row>
    <row r="38">
      <c r="D38" s="24">
        <f>IF($A38="","",IF(COUNTIFS('🌙 Day Close'!$A:$A,TODAY()-1,'🌙 Day Close'!$B:$B,$A38)&gt;0,"✔ yes","— no"))</f>
        <v/>
      </c>
    </row>
    <row r="39">
      <c r="D39" s="24">
        <f>IF($A39="","",IF(COUNTIFS('🌙 Day Close'!$A:$A,TODAY()-1,'🌙 Day Close'!$B:$B,$A39)&gt;0,"✔ yes","— no"))</f>
        <v/>
      </c>
    </row>
    <row r="40">
      <c r="D40" s="24">
        <f>IF($A40="","",IF(COUNTIFS('🌙 Day Close'!$A:$A,TODAY()-1,'🌙 Day Close'!$B:$B,$A40)&gt;0,"✔ yes","— no"))</f>
        <v/>
      </c>
    </row>
    <row r="41">
      <c r="D41" s="24">
        <f>IF($A41="","",IF(COUNTIFS('🌙 Day Close'!$A:$A,TODAY()-1,'🌙 Day Close'!$B:$B,$A41)&gt;0,"✔ yes","— no"))</f>
        <v/>
      </c>
    </row>
    <row r="42">
      <c r="D42" s="24">
        <f>IF($A42="","",IF(COUNTIFS('🌙 Day Close'!$A:$A,TODAY()-1,'🌙 Day Close'!$B:$B,$A42)&gt;0,"✔ yes","— no"))</f>
        <v/>
      </c>
    </row>
    <row r="43">
      <c r="D43" s="24">
        <f>IF($A43="","",IF(COUNTIFS('🌙 Day Close'!$A:$A,TODAY()-1,'🌙 Day Close'!$B:$B,$A43)&gt;0,"✔ yes","— no"))</f>
        <v/>
      </c>
    </row>
    <row r="44">
      <c r="D44" s="24">
        <f>IF($A44="","",IF(COUNTIFS('🌙 Day Close'!$A:$A,TODAY()-1,'🌙 Day Close'!$B:$B,$A44)&gt;0,"✔ yes","— no"))</f>
        <v/>
      </c>
    </row>
    <row r="45">
      <c r="D45" s="24">
        <f>IF($A45="","",IF(COUNTIFS('🌙 Day Close'!$A:$A,TODAY()-1,'🌙 Day Close'!$B:$B,$A45)&gt;0,"✔ yes","— no"))</f>
        <v/>
      </c>
    </row>
    <row r="46">
      <c r="D46" s="24">
        <f>IF($A46="","",IF(COUNTIFS('🌙 Day Close'!$A:$A,TODAY()-1,'🌙 Day Close'!$B:$B,$A46)&gt;0,"✔ yes","— no"))</f>
        <v/>
      </c>
    </row>
    <row r="47">
      <c r="D47" s="24">
        <f>IF($A47="","",IF(COUNTIFS('🌙 Day Close'!$A:$A,TODAY()-1,'🌙 Day Close'!$B:$B,$A47)&gt;0,"✔ yes","— no"))</f>
        <v/>
      </c>
    </row>
    <row r="48">
      <c r="D48" s="24">
        <f>IF($A48="","",IF(COUNTIFS('🌙 Day Close'!$A:$A,TODAY()-1,'🌙 Day Close'!$B:$B,$A48)&gt;0,"✔ yes","— no"))</f>
        <v/>
      </c>
    </row>
    <row r="49">
      <c r="D49" s="24">
        <f>IF($A49="","",IF(COUNTIFS('🌙 Day Close'!$A:$A,TODAY()-1,'🌙 Day Close'!$B:$B,$A49)&gt;0,"✔ yes","— no"))</f>
        <v/>
      </c>
    </row>
    <row r="50">
      <c r="D50" s="24">
        <f>IF($A50="","",IF(COUNTIFS('🌙 Day Close'!$A:$A,TODAY()-1,'🌙 Day Close'!$B:$B,$A50)&gt;0,"✔ yes","— no"))</f>
        <v/>
      </c>
    </row>
    <row r="51">
      <c r="D51" s="24">
        <f>IF($A51="","",IF(COUNTIFS('🌙 Day Close'!$A:$A,TODAY()-1,'🌙 Day Close'!$B:$B,$A51)&gt;0,"✔ yes","— no"))</f>
        <v/>
      </c>
    </row>
  </sheetData>
  <conditionalFormatting sqref="D2:D51">
    <cfRule type="expression" priority="1" dxfId="8">
      <formula>LEFT($D2,1)="✔"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E1B2A"/>
    <outlinePr summaryBelow="1" summaryRight="1"/>
    <pageSetUpPr/>
  </sheetPr>
  <dimension ref="B2:B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 ht="30" customHeight="1">
      <c r="B2" s="25" t="inlineStr">
        <is>
          <t>5 CIRCLES HQ — how this works</t>
        </is>
      </c>
    </row>
    <row r="3" ht="30" customHeight="1">
      <c r="B3" s="26" t="inlineStr">
        <is>
          <t>One sheet. No app, no login, no server, nothing to install. It lives in your Google Drive, opens in the Sheets app on every phone, and never expires.</t>
        </is>
      </c>
    </row>
    <row r="4">
      <c r="B4" s="26" t="inlineStr"/>
    </row>
    <row r="5">
      <c r="B5" s="27" t="inlineStr">
        <is>
          <t>THE DAILY LOOP</t>
        </is>
      </c>
    </row>
    <row r="6" ht="28" customHeight="1">
      <c r="B6" s="26" t="inlineStr">
        <is>
          <t>Morning — open 📌 Today. It shows what's overdue, what's due, which leads to call, and what content is late. Fix that list first.</t>
        </is>
      </c>
    </row>
    <row r="7" ht="40" customHeight="1">
      <c r="B7" s="26" t="inlineStr">
        <is>
          <t>During the day — when work moves, tap its Status dropdown: To do → Doing → Done. Truly blocked? Set it to Stuck — that's not failure, that's a flare. Stuck rows jump to the top of Today so someone helps you fast.</t>
        </is>
      </c>
    </row>
    <row r="8" ht="40" customHeight="1">
      <c r="B8" s="26" t="inlineStr">
        <is>
          <t>Evening — before you leave, add one row in 🌙 Day Close: what you finished, what you're stuck on, tomorrow's #1. Under a minute. Then send a ✅ in the WhatsApp group so everyone knows you closed.</t>
        </is>
      </c>
    </row>
    <row r="9">
      <c r="B9" s="26" t="inlineStr"/>
    </row>
    <row r="10">
      <c r="B10" s="27" t="inlineStr">
        <is>
          <t>THE TABS</t>
        </is>
      </c>
    </row>
    <row r="11">
      <c r="B11" s="26" t="inlineStr">
        <is>
          <t>📌 Today — fills itself, and it's locked so nobody breaks it. Don't type here.</t>
        </is>
      </c>
    </row>
    <row r="12">
      <c r="B12" s="26" t="inlineStr">
        <is>
          <t>✅ Tasks — one row per job. A task without a Due date and a Who is just a wish.</t>
        </is>
      </c>
    </row>
    <row r="13" ht="28" customHeight="1">
      <c r="B13" s="26" t="inlineStr">
        <is>
          <t>🎬 Content — every post across 5 Circles, Rahul, and Traders Club. Move the Stage as it progresses: Idea → Script → Shoot → Edit → Ready → Posted.</t>
        </is>
      </c>
    </row>
    <row r="14" ht="28" customHeight="1">
      <c r="B14" s="26" t="inlineStr">
        <is>
          <t>📞 Leads — every enquiry, same day it arrives. Set 'Next follow-up' and it will appear on Today when the day comes. A lead never chased is money burned on ads.</t>
        </is>
      </c>
    </row>
    <row r="15">
      <c r="B15" s="26" t="inlineStr">
        <is>
          <t>🌙 Day Close — one row per person per day. The founder reads this tab first.</t>
        </is>
      </c>
    </row>
    <row r="16" ht="28" customHeight="1">
      <c r="B16" s="26" t="inlineStr">
        <is>
          <t>👥 Team — add your people here FIRST (name, role, phone). Every 'Who' dropdown in the sheet reads from this list.</t>
        </is>
      </c>
    </row>
    <row r="17">
      <c r="B17" s="26" t="inlineStr"/>
    </row>
    <row r="18">
      <c r="B18" s="27" t="inlineStr">
        <is>
          <t>RULES THAT KEEP IT ALIVE</t>
        </is>
      </c>
    </row>
    <row r="19">
      <c r="B19" s="26" t="inlineStr">
        <is>
          <t>1.  If it's not in the sheet, it doesn't exist. WhatsApp is for talking; this is for remembering.</t>
        </is>
      </c>
    </row>
    <row r="20">
      <c r="B20" s="26" t="inlineStr">
        <is>
          <t>2.  Never delete rows — mark tasks Done, leads Not now. History is an asset.</t>
        </is>
      </c>
    </row>
    <row r="21">
      <c r="B21" s="26" t="inlineStr">
        <is>
          <t>3.  Colours mean things: red tint = late, blue tint = today, green tint = done.</t>
        </is>
      </c>
    </row>
    <row r="22">
      <c r="B22" s="26" t="inlineStr">
        <is>
          <t>4.  The sample rows (marked in Notes) are safe to replace with real work.</t>
        </is>
      </c>
    </row>
    <row r="23">
      <c r="B23" s="26" t="inlineStr">
        <is>
          <t>5.  Anyone can see everything. That's the point — problems can't hide.</t>
        </is>
      </c>
    </row>
    <row r="24">
      <c r="B24" s="26" t="inlineStr"/>
    </row>
    <row r="25">
      <c r="B25" s="27" t="inlineStr">
        <is>
          <t>SETUP — 2 MINUTES, ONCE</t>
        </is>
      </c>
    </row>
    <row r="26">
      <c r="B26" s="26" t="inlineStr">
        <is>
          <t>1.  👥 Team → add everyone's name, role, phone.</t>
        </is>
      </c>
    </row>
    <row r="27">
      <c r="B27" s="26" t="inlineStr">
        <is>
          <t>2.  Share (top-right) → add each person's Google email as Editor.</t>
        </is>
      </c>
    </row>
    <row r="28">
      <c r="B28" s="26" t="inlineStr">
        <is>
          <t>3.  Everyone installs the Google Sheets app and stars ⭐ this file.</t>
        </is>
      </c>
    </row>
    <row r="29">
      <c r="B29" s="28" t="inlineStr">
        <is>
          <t>That's the whole deployment.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2026-08-26T11:15:37Z</dcterms:created>
  <dcterms:modified xsi:type="dcterms:W3CDTF">2026-08-26T11:15:37Z</dcterms:modified>
</cp:coreProperties>
</file>